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oan\"/>
    </mc:Choice>
  </mc:AlternateContent>
  <xr:revisionPtr revIDLastSave="0" documentId="13_ncr:1_{F7F06BAD-3042-4AD5-B757-1367CE5443EC}" xr6:coauthVersionLast="36" xr6:coauthVersionMax="47" xr10:uidLastSave="{00000000-0000-0000-0000-000000000000}"/>
  <bookViews>
    <workbookView xWindow="0" yWindow="0" windowWidth="23040" windowHeight="9060" tabRatio="500" xr2:uid="{00000000-000D-0000-FFFF-FFFF00000000}"/>
  </bookViews>
  <sheets>
    <sheet name="Bachelor" sheetId="1" r:id="rId1"/>
    <sheet name="DS phân ban" sheetId="2" state="hidden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5" i="1" l="1"/>
  <c r="H85" i="1"/>
</calcChain>
</file>

<file path=xl/sharedStrings.xml><?xml version="1.0" encoding="utf-8"?>
<sst xmlns="http://schemas.openxmlformats.org/spreadsheetml/2006/main" count="135" uniqueCount="109">
  <si>
    <t>HANOI UNIVERSITY OF SCIENCE AND TECHNOLOGY</t>
  </si>
  <si>
    <t>SCHOOL OF INFORMATION AND COMMUNICATIONS TECHNOLOGY</t>
  </si>
  <si>
    <t>THESIS ASSIGNMENT SHEET OF BACHELOR PROGRAM</t>
  </si>
  <si>
    <t>Semester</t>
  </si>
  <si>
    <t>Student's information</t>
  </si>
  <si>
    <t>Full name:</t>
  </si>
  <si>
    <t>Student ID:</t>
  </si>
  <si>
    <t>Phone number:</t>
  </si>
  <si>
    <t>Class:</t>
  </si>
  <si>
    <t>Email:</t>
  </si>
  <si>
    <t>Class code:</t>
  </si>
  <si>
    <t>Supervisor's information</t>
  </si>
  <si>
    <t>Thesis carried out at:</t>
  </si>
  <si>
    <t xml:space="preserve">Time duration for thesis: </t>
  </si>
  <si>
    <t xml:space="preserve">From </t>
  </si>
  <si>
    <t xml:space="preserve">to </t>
  </si>
  <si>
    <t>1. Thesis's title:</t>
  </si>
  <si>
    <t>2. Thesis's field of interest:</t>
  </si>
  <si>
    <t>-</t>
  </si>
  <si>
    <t>Option 1:</t>
  </si>
  <si>
    <t>AI and Applications</t>
  </si>
  <si>
    <t>Option 2:</t>
  </si>
  <si>
    <t>Computer Vision</t>
  </si>
  <si>
    <t>Option 3:</t>
  </si>
  <si>
    <t>Enterprise Software</t>
  </si>
  <si>
    <t>If the field of interest is not listed in the available options, the supervisor may recommend a suitable topic:</t>
  </si>
  <si>
    <t>3. Objectives</t>
  </si>
  <si>
    <t>3.1. Knowledge acquired:</t>
  </si>
  <si>
    <t>3.2 Technologies acquired:</t>
  </si>
  <si>
    <t>3.3. Skills developed:</t>
  </si>
  <si>
    <t>3.4. Products expected:</t>
  </si>
  <si>
    <t xml:space="preserve">3.5. Practical issues solved:  </t>
  </si>
  <si>
    <t>4. Tentative work packages and plan:</t>
  </si>
  <si>
    <t>Note: Required credits for a bachelor-graduation thesis are 6(0-0-12-12), i.e. 12 hours per week for 17 weeks.</t>
  </si>
  <si>
    <t>Work package 1:  Literature survey about domain knowledge</t>
  </si>
  <si>
    <t>from Week</t>
  </si>
  <si>
    <t>to Week</t>
  </si>
  <si>
    <t>Details:</t>
  </si>
  <si>
    <t>Work package 2: Study/Research on related technologies</t>
  </si>
  <si>
    <t>5. Commitment of the student who has received the assignment</t>
  </si>
  <si>
    <t>I commit to complete the assignment as planned above.</t>
  </si>
  <si>
    <t>Student</t>
  </si>
  <si>
    <t>6. Supervisor's confirmation of the student assignment</t>
  </si>
  <si>
    <t>Supervisor</t>
  </si>
  <si>
    <t>Danh sách phân ban</t>
  </si>
  <si>
    <t>Tuần</t>
  </si>
  <si>
    <t>STT</t>
  </si>
  <si>
    <t>Xử lý ngôn ngữ tự nhiên</t>
  </si>
  <si>
    <t>Natural language processing</t>
  </si>
  <si>
    <t>An toàn không gian số</t>
  </si>
  <si>
    <t>Cyber Security</t>
  </si>
  <si>
    <t>Multimedia và Game</t>
  </si>
  <si>
    <t>Multimedia and Game Development</t>
  </si>
  <si>
    <t>Blockchain và ứng dụng</t>
  </si>
  <si>
    <t>Blockchain and Applications</t>
  </si>
  <si>
    <t>AIoT</t>
  </si>
  <si>
    <t>Hệ nhúng</t>
  </si>
  <si>
    <t>Embedded System</t>
  </si>
  <si>
    <t>Định vị sử dụng vệ tinh và ứng dụng hướng vị trí (LBS)</t>
  </si>
  <si>
    <t>Navigation Technologies and Location Based Services (LBS)</t>
  </si>
  <si>
    <t>Thương mại điện tử (eCommerce) và hậu cần (Logistic)</t>
  </si>
  <si>
    <t xml:space="preserve">eCommerce and Logistic </t>
  </si>
  <si>
    <t xml:space="preserve">Xử lý tín hiệu số </t>
  </si>
  <si>
    <t>Digital Signal Processing</t>
  </si>
  <si>
    <t>Công nghệ và giải pháp chuyển đổi số giáo dục (EdTech)</t>
  </si>
  <si>
    <t>EdTech</t>
  </si>
  <si>
    <t>Công nghệ tài chính (FinTech)</t>
  </si>
  <si>
    <t>Fintech</t>
  </si>
  <si>
    <t>Giao thông thông minh (ITS)</t>
  </si>
  <si>
    <t>Intelligent Transportation System (ITS)</t>
  </si>
  <si>
    <t>Học máy</t>
  </si>
  <si>
    <t>Machine Learning</t>
  </si>
  <si>
    <t>Mạng máy tính và truyền thông thế hệ mới</t>
  </si>
  <si>
    <t>Modern Computer Networks and Communication Technologies</t>
  </si>
  <si>
    <t>Công nghệ y tế (MedTech)</t>
  </si>
  <si>
    <t>MedTech</t>
  </si>
  <si>
    <t>Phần mềm doanh nghiệp</t>
  </si>
  <si>
    <t>Phân tích dữ liệu lớn và ứng dụng</t>
  </si>
  <si>
    <t>Big Data and Applications</t>
  </si>
  <si>
    <t>Thị giác máy tính</t>
  </si>
  <si>
    <t>Tối ưu</t>
  </si>
  <si>
    <t>Optimization</t>
  </si>
  <si>
    <t>Trí tuệ nhân tạo ứng dụng</t>
  </si>
  <si>
    <t>Hà Hoàng Hiệp</t>
  </si>
  <si>
    <t>0968136246</t>
  </si>
  <si>
    <t>hiep.hh214897@sis.hust.edu.vn</t>
  </si>
  <si>
    <t>Data Science &amp; AI 01 K66</t>
  </si>
  <si>
    <t>School of Information and Communications Technology (SOICT)</t>
  </si>
  <si>
    <t xml:space="preserve">- Object detection &amp; classification: Train and finetune models using custom dataset, gained experience on model evaluations and optimization for specific purpose
- Attribute Classification: Understand and develop a multi-head classifier using ResNet50 to predict personal attributes (gender, age, accessories,...) from cropped images
- Problem-Solving: Enhance ability to address real-world challenges in low-light person detection and classification, such as poor visibility and diverse appearances
</t>
  </si>
  <si>
    <t xml:space="preserve">- Using Python, Pytorch to program the training and evaluation of the proposed model
- Using OpenCV, Pyplotlib to perform various operations on image: augmentation, demonstration and enhancement
</t>
  </si>
  <si>
    <t>- Research, survey and synthesize knowledge from various sources
- Technical writing, reports and documentation
- Analysis, reasoning and problem-solving
- Communication, presentation - presentation skills and report
- Implementation of experiments
- Ability to manage time</t>
  </si>
  <si>
    <t>30/06/2025</t>
  </si>
  <si>
    <t>Đỗ Quốc Huy</t>
  </si>
  <si>
    <t>- Study person detection and attribute classification pipelines, focusing on lightweight models and low-light optimization
- Research edge device deployment techniques (e.g., Jetson Nano) for real-time performance
- Research preprocessing and postprocessing techniques to enhance image quality across diverse lighting conditions
- Investigate challenges in low-light outdoor environments, especially in Vietnamese contexts (e.g., nighttime streets, poor lighting, occlusion) 
- Research available datasets and methods for create new datasets for training and evaluating
Expected output: An overview of the problem, understand the necessity of its application and existing work</t>
  </si>
  <si>
    <t>Work package 3:  Data collection and processing</t>
  </si>
  <si>
    <t xml:space="preserve">Work package 4:  Model and pipeline development </t>
  </si>
  <si>
    <t>Work package 5: Test and evaluation</t>
  </si>
  <si>
    <t>- Run experiments on the proposed dataset to test the performance of the pipeline
- Finetune, determine the best hyperparameters for the model
Expected result: An overall outcome with results more than 80% accuracy</t>
  </si>
  <si>
    <t>- Determine the pipeline for person detection and attribute classification
- Implement preprocessing methods to enhance image quality across diverse lighting conditions
- Fine-tune model for person detection and attribute classification
- Optimize the pipeline for edge devices (e.g., Jetson Nano) using techniques such as TensorRT and model quantization
- Develop a training and evaluation program for the pipeline
Expected result: A complete pipeline for person detection and attribute classification under diverse lighting conditions, with a report on model performance</t>
  </si>
  <si>
    <t>Work package 6: Report</t>
  </si>
  <si>
    <t xml:space="preserve">- Analyze the results obtain
- Write reports with details implementation, results and requirements for the application
Expected result: A Final report </t>
  </si>
  <si>
    <t>Lightweight Real-Time Person Detection and Attribute Classification Under Varying Lighting Conditions</t>
  </si>
  <si>
    <t xml:space="preserve">Hanoi, 11 April 2024  </t>
  </si>
  <si>
    <t>Hanoi, 11 April 2024</t>
  </si>
  <si>
    <t>Mẫu ĐATN 02</t>
  </si>
  <si>
    <t>- Addressed the challenge of real-time person detection and attribute classification in low-light outdoor environments, tackling issues like poor visibility, occlusion, and diverse appearances. This system is essential because existing solutions often struggle in low-light conditions (e.g., nighttime streets), leading to inaccurate detection and classification, which can hinder applications like surveillance and crowd monitoring</t>
  </si>
  <si>
    <t>- Python Programing Language, necessary libraries for data handling, image processing
- Frameworks and libraries for building models
- Tools for data collection and data handling
Expected result: The required tools and libraries for solving the problem</t>
  </si>
  <si>
    <t>- Analyze available datasets for person detection and attribute classification under diverse lighting conditions
- Collect new data in outdoor settings under various lighting
- Label data with bounding boxes for detection and attributes (such as gender, age, ...)
- Preprocess data: resize, normalize, augment, ... 
Expected result: a diverse lighting dataset for person detection and attribute classification</t>
  </si>
  <si>
    <t xml:space="preserve">- I11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</si>
</sst>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Calibri"/>
      <charset val="1"/>
    </font>
    <font>
      <sz val="11"/>
      <color rgb="FF000000"/>
      <name val="Arial"/>
      <family val="2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Arial"/>
      <family val="2"/>
      <charset val="1"/>
    </font>
    <font>
      <i/>
      <sz val="11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u/>
      <sz val="12"/>
      <color theme="10"/>
      <name val="Calibri"/>
      <charset val="1"/>
    </font>
    <font>
      <b/>
      <sz val="11"/>
      <color rgb="FF000000"/>
      <name val="Arial"/>
    </font>
    <font>
      <sz val="11"/>
      <color rgb="FF000000"/>
      <name val="Arial"/>
    </font>
    <font>
      <i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1" fillId="0" borderId="0" xfId="0" applyFont="1"/>
    <xf numFmtId="0" fontId="10" fillId="0" borderId="0" xfId="0" applyFont="1" applyAlignment="1"/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2" fillId="0" borderId="0" xfId="0" applyFont="1" applyAlignment="1"/>
    <xf numFmtId="0" fontId="3" fillId="0" borderId="0" xfId="0" applyFont="1" applyAlignment="1">
      <alignment horizontal="left" wrapText="1"/>
    </xf>
    <xf numFmtId="49" fontId="1" fillId="2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49" fontId="9" fillId="2" borderId="0" xfId="1" applyNumberFormat="1" applyFill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7" fillId="4" borderId="0" xfId="0" applyNumberFormat="1" applyFont="1" applyFill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ep.hh214897@sis.hus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48576"/>
  <sheetViews>
    <sheetView tabSelected="1" zoomScale="130" zoomScaleNormal="130" workbookViewId="0">
      <selection activeCell="A36" sqref="A36:K38"/>
    </sheetView>
  </sheetViews>
  <sheetFormatPr defaultColWidth="11.09765625" defaultRowHeight="15.6" x14ac:dyDescent="0.3"/>
  <cols>
    <col min="1" max="1" width="4.8984375" customWidth="1"/>
    <col min="2" max="2" width="19" customWidth="1"/>
    <col min="3" max="3" width="10.59765625" customWidth="1"/>
    <col min="4" max="4" width="4.59765625" customWidth="1"/>
    <col min="5" max="5" width="23.8984375" customWidth="1"/>
    <col min="6" max="6" width="9.59765625" customWidth="1"/>
    <col min="7" max="7" width="5.5" customWidth="1"/>
    <col min="8" max="8" width="10.59765625" customWidth="1"/>
    <col min="9" max="9" width="7.09765625" customWidth="1"/>
    <col min="10" max="10" width="8.8984375" customWidth="1"/>
    <col min="11" max="11" width="6.59765625" customWidth="1"/>
    <col min="12" max="26" width="10.8984375" customWidth="1"/>
  </cols>
  <sheetData>
    <row r="1" spans="1:26" ht="15.75" customHeight="1" x14ac:dyDescent="0.3">
      <c r="A1" s="3"/>
      <c r="B1" s="3"/>
      <c r="C1" s="3"/>
      <c r="D1" s="3"/>
      <c r="E1" s="3"/>
      <c r="F1" s="3"/>
      <c r="G1" s="3"/>
      <c r="H1" s="3"/>
      <c r="I1" s="3"/>
      <c r="J1" s="37" t="s">
        <v>104</v>
      </c>
      <c r="K1" s="38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28" t="s">
        <v>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4"/>
      <c r="B6" s="5"/>
      <c r="C6" s="5"/>
      <c r="D6" s="5"/>
      <c r="E6" s="2" t="s">
        <v>3</v>
      </c>
      <c r="F6" s="1">
        <v>20242</v>
      </c>
      <c r="G6" s="5"/>
      <c r="H6" s="4"/>
      <c r="I6" s="4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5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4" t="s">
        <v>5</v>
      </c>
      <c r="B9" s="4"/>
      <c r="C9" s="39" t="s">
        <v>83</v>
      </c>
      <c r="D9" s="39"/>
      <c r="E9" s="39"/>
      <c r="F9" s="39"/>
      <c r="G9" s="39"/>
      <c r="H9" s="4" t="s">
        <v>6</v>
      </c>
      <c r="I9" s="40">
        <v>20214897</v>
      </c>
      <c r="J9" s="40"/>
      <c r="K9" s="4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4" t="s">
        <v>7</v>
      </c>
      <c r="B10" s="4"/>
      <c r="C10" s="35" t="s">
        <v>84</v>
      </c>
      <c r="D10" s="35"/>
      <c r="E10" s="35"/>
      <c r="F10" s="35"/>
      <c r="G10" s="35"/>
      <c r="H10" s="4" t="s">
        <v>8</v>
      </c>
      <c r="I10" s="40" t="s">
        <v>86</v>
      </c>
      <c r="J10" s="40"/>
      <c r="K10" s="4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4" t="s">
        <v>9</v>
      </c>
      <c r="B11" s="4"/>
      <c r="C11" s="36" t="s">
        <v>85</v>
      </c>
      <c r="D11" s="35"/>
      <c r="E11" s="35"/>
      <c r="F11" s="35"/>
      <c r="G11" s="35"/>
      <c r="H11" s="4" t="s">
        <v>10</v>
      </c>
      <c r="I11" s="40">
        <v>755064</v>
      </c>
      <c r="J11" s="40"/>
      <c r="K11" s="40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5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4" t="s">
        <v>5</v>
      </c>
      <c r="B13" s="4"/>
      <c r="C13" s="39" t="s">
        <v>92</v>
      </c>
      <c r="D13" s="39"/>
      <c r="E13" s="39"/>
      <c r="F13" s="39"/>
      <c r="G13" s="39"/>
      <c r="H13" s="39"/>
      <c r="I13" s="39"/>
      <c r="J13" s="39"/>
      <c r="K13" s="3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4" t="s">
        <v>12</v>
      </c>
      <c r="B14" s="4"/>
      <c r="C14" s="40" t="s">
        <v>87</v>
      </c>
      <c r="D14" s="40"/>
      <c r="E14" s="40"/>
      <c r="F14" s="40"/>
      <c r="G14" s="40"/>
      <c r="H14" s="40"/>
      <c r="I14" s="40"/>
      <c r="J14" s="40"/>
      <c r="K14" s="4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4" t="s">
        <v>13</v>
      </c>
      <c r="B15" s="4"/>
      <c r="C15" s="4" t="s">
        <v>14</v>
      </c>
      <c r="D15" s="34">
        <v>45932</v>
      </c>
      <c r="E15" s="34"/>
      <c r="F15" s="34"/>
      <c r="G15" s="34"/>
      <c r="H15" s="6" t="s">
        <v>15</v>
      </c>
      <c r="I15" s="41" t="s">
        <v>91</v>
      </c>
      <c r="J15" s="41"/>
      <c r="K15" s="4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5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2.9" customHeight="1" x14ac:dyDescent="0.3">
      <c r="A17" s="25" t="s">
        <v>101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7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8" t="s">
        <v>18</v>
      </c>
      <c r="B19" s="3" t="s">
        <v>19</v>
      </c>
      <c r="C19" s="24" t="s">
        <v>20</v>
      </c>
      <c r="D19" s="24"/>
      <c r="E19" s="24"/>
      <c r="F19" s="24"/>
      <c r="G19" s="24"/>
      <c r="H19" s="24"/>
      <c r="I19" s="24"/>
      <c r="J19" s="24"/>
      <c r="K19" s="2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8" t="s">
        <v>18</v>
      </c>
      <c r="B20" s="3" t="s">
        <v>21</v>
      </c>
      <c r="C20" s="24" t="s">
        <v>55</v>
      </c>
      <c r="D20" s="24"/>
      <c r="E20" s="24"/>
      <c r="F20" s="24"/>
      <c r="G20" s="24"/>
      <c r="H20" s="24"/>
      <c r="I20" s="24"/>
      <c r="J20" s="24"/>
      <c r="K20" s="2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8" t="s">
        <v>18</v>
      </c>
      <c r="B21" s="3" t="s">
        <v>23</v>
      </c>
      <c r="C21" s="24"/>
      <c r="D21" s="24"/>
      <c r="E21" s="24"/>
      <c r="F21" s="24"/>
      <c r="G21" s="24"/>
      <c r="H21" s="24"/>
      <c r="I21" s="24"/>
      <c r="J21" s="24"/>
      <c r="K21" s="2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8" t="s">
        <v>18</v>
      </c>
      <c r="B22" s="3" t="s">
        <v>25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9" t="s">
        <v>26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 t="s">
        <v>27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3">
      <c r="A26" s="23" t="s">
        <v>88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58.8" customHeight="1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 t="s">
        <v>28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3">
      <c r="A30" s="23" t="s">
        <v>89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1.2" customHeight="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 t="s">
        <v>29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99" customHeight="1" x14ac:dyDescent="0.3">
      <c r="A34" s="23" t="s">
        <v>90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 t="s">
        <v>30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3">
      <c r="A36" s="23" t="s">
        <v>108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69.900000000000006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 t="s">
        <v>31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3">
      <c r="A40" s="23" t="s">
        <v>105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0.5" customHeight="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200000000000003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7" t="s">
        <v>32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4" customHeight="1" x14ac:dyDescent="0.3">
      <c r="A44" s="32" t="s">
        <v>33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7" t="s">
        <v>34</v>
      </c>
      <c r="B45" s="3"/>
      <c r="C45" s="3"/>
      <c r="D45" s="3"/>
      <c r="E45" s="3"/>
      <c r="F45" s="3" t="s">
        <v>35</v>
      </c>
      <c r="G45" s="10">
        <v>1</v>
      </c>
      <c r="H45" s="3" t="s">
        <v>36</v>
      </c>
      <c r="I45" s="10">
        <v>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 t="s">
        <v>37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3">
      <c r="A47" s="23" t="s">
        <v>93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57" customHeight="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7" t="s">
        <v>38</v>
      </c>
      <c r="B51" s="3"/>
      <c r="C51" s="3"/>
      <c r="D51" s="3"/>
      <c r="E51" s="3"/>
      <c r="F51" s="3" t="s">
        <v>35</v>
      </c>
      <c r="G51" s="10">
        <v>4</v>
      </c>
      <c r="H51" s="3" t="s">
        <v>36</v>
      </c>
      <c r="I51" s="10">
        <v>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 t="s">
        <v>37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3">
      <c r="A53" s="23" t="s">
        <v>106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8.8" customHeight="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7" t="s">
        <v>94</v>
      </c>
      <c r="B56" s="3"/>
      <c r="C56" s="3"/>
      <c r="D56" s="3"/>
      <c r="E56" s="3"/>
      <c r="F56" s="3" t="s">
        <v>35</v>
      </c>
      <c r="G56" s="10">
        <v>5</v>
      </c>
      <c r="H56" s="3" t="s">
        <v>36</v>
      </c>
      <c r="I56" s="10">
        <v>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 t="s">
        <v>37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23" t="s">
        <v>107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42" customHeight="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7" t="s">
        <v>95</v>
      </c>
      <c r="B61" s="3"/>
      <c r="C61" s="3"/>
      <c r="D61" s="3"/>
      <c r="E61" s="3"/>
      <c r="F61" s="3" t="s">
        <v>35</v>
      </c>
      <c r="G61" s="10">
        <v>8</v>
      </c>
      <c r="H61" s="3" t="s">
        <v>36</v>
      </c>
      <c r="I61" s="10">
        <v>14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 t="s">
        <v>37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3">
      <c r="A63" s="23" t="s">
        <v>98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73.8" customHeight="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8" customHeight="1" x14ac:dyDescent="0.3">
      <c r="A66" s="22" t="s">
        <v>96</v>
      </c>
      <c r="B66" s="22"/>
      <c r="C66" s="22"/>
      <c r="D66" s="22"/>
      <c r="E66" s="22"/>
      <c r="F66" s="11" t="s">
        <v>35</v>
      </c>
      <c r="G66" s="10">
        <v>13</v>
      </c>
      <c r="H66" s="11" t="s">
        <v>36</v>
      </c>
      <c r="I66" s="10">
        <v>15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 t="s">
        <v>37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3">
      <c r="A68" s="23" t="s">
        <v>97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6" customHeight="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8" customHeight="1" x14ac:dyDescent="0.3">
      <c r="A71" s="22" t="s">
        <v>99</v>
      </c>
      <c r="B71" s="22"/>
      <c r="C71" s="22"/>
      <c r="D71" s="22"/>
      <c r="E71" s="22"/>
      <c r="F71" s="11" t="s">
        <v>35</v>
      </c>
      <c r="G71" s="10">
        <v>15</v>
      </c>
      <c r="H71" s="11" t="s">
        <v>36</v>
      </c>
      <c r="I71" s="10">
        <v>17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 t="s">
        <v>37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3">
      <c r="A73" s="23" t="s">
        <v>100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6" customHeight="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18" t="s">
        <v>39</v>
      </c>
      <c r="B76" s="18"/>
      <c r="C76" s="19"/>
      <c r="D76" s="20"/>
      <c r="E76" s="20"/>
      <c r="F76" s="17"/>
      <c r="G76" s="29"/>
      <c r="H76" s="29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3">
      <c r="A77" s="21" t="s">
        <v>40</v>
      </c>
      <c r="B77" s="21"/>
      <c r="C77" s="17"/>
      <c r="D77" s="20"/>
      <c r="E77" s="20"/>
      <c r="F77" s="17"/>
      <c r="G77" s="29"/>
      <c r="H77" s="29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0" t="s">
        <v>102</v>
      </c>
      <c r="I78" s="30"/>
      <c r="J78" s="30"/>
      <c r="K78" s="30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1" t="s">
        <v>41</v>
      </c>
      <c r="I79" s="31"/>
      <c r="J79" s="31"/>
      <c r="K79" s="3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26" t="str">
        <f>C9</f>
        <v>Hà Hoàng Hiệp</v>
      </c>
      <c r="I85" s="26"/>
      <c r="J85" s="26"/>
      <c r="K85" s="2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7" t="s">
        <v>42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27" t="s">
        <v>103</v>
      </c>
      <c r="I88" s="27"/>
      <c r="J88" s="27"/>
      <c r="K88" s="2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28" t="s">
        <v>43</v>
      </c>
      <c r="I89" s="28"/>
      <c r="J89" s="28"/>
      <c r="K89" s="28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26" t="str">
        <f>C13</f>
        <v>Đỗ Quốc Huy</v>
      </c>
      <c r="I95" s="26"/>
      <c r="J95" s="26"/>
      <c r="K95" s="2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mergeCells count="41">
    <mergeCell ref="J1:K1"/>
    <mergeCell ref="A2:K2"/>
    <mergeCell ref="A3:K3"/>
    <mergeCell ref="A5:K5"/>
    <mergeCell ref="C9:G9"/>
    <mergeCell ref="I9:K9"/>
    <mergeCell ref="A26:K28"/>
    <mergeCell ref="A30:K32"/>
    <mergeCell ref="A34:K34"/>
    <mergeCell ref="D15:G15"/>
    <mergeCell ref="C10:G10"/>
    <mergeCell ref="C11:G11"/>
    <mergeCell ref="C13:K13"/>
    <mergeCell ref="I11:K11"/>
    <mergeCell ref="I10:K10"/>
    <mergeCell ref="I15:K15"/>
    <mergeCell ref="C14:K14"/>
    <mergeCell ref="H95:K95"/>
    <mergeCell ref="H85:K85"/>
    <mergeCell ref="H88:K88"/>
    <mergeCell ref="H89:K89"/>
    <mergeCell ref="G76:H76"/>
    <mergeCell ref="G77:H77"/>
    <mergeCell ref="H78:K78"/>
    <mergeCell ref="H79:K79"/>
    <mergeCell ref="A71:E71"/>
    <mergeCell ref="A73:K75"/>
    <mergeCell ref="C20:K20"/>
    <mergeCell ref="C19:K19"/>
    <mergeCell ref="A17:K17"/>
    <mergeCell ref="A58:K60"/>
    <mergeCell ref="A63:K65"/>
    <mergeCell ref="A66:E66"/>
    <mergeCell ref="A68:K70"/>
    <mergeCell ref="A36:K38"/>
    <mergeCell ref="A40:K42"/>
    <mergeCell ref="A44:K44"/>
    <mergeCell ref="A47:K50"/>
    <mergeCell ref="A53:K55"/>
    <mergeCell ref="C21:K21"/>
    <mergeCell ref="A23:K23"/>
  </mergeCells>
  <hyperlinks>
    <hyperlink ref="C11" r:id="rId1" xr:uid="{00000000-0004-0000-0000-000000000000}"/>
  </hyperlinks>
  <pageMargins left="0.7" right="0.7" top="0.75" bottom="0.75" header="0.511811023622047" footer="0.511811023622047"/>
  <pageSetup paperSize="9" scale="72" fitToHeight="0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'DS phân ban'!$E$4:$E$23</xm:f>
          </x14:formula1>
          <x14:formula2>
            <xm:f>0</xm:f>
          </x14:formula2>
          <xm:sqref>G45 I45 G51 I51 G56 I56 G61 I61 G66 I66 G71 I71</xm:sqref>
        </x14:dataValidation>
        <x14:dataValidation type="list" allowBlank="1" showErrorMessage="1" xr:uid="{00000000-0002-0000-0000-000001000000}">
          <x14:formula1>
            <xm:f>'DS phân ban'!$H$5:$H$25</xm:f>
          </x14:formula1>
          <x14:formula2>
            <xm:f>0</xm:f>
          </x14:formula2>
          <xm:sqref>C19:C21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zoomScale="90" zoomScaleNormal="90" workbookViewId="0"/>
  </sheetViews>
  <sheetFormatPr defaultColWidth="11.09765625" defaultRowHeight="15.6" x14ac:dyDescent="0.3"/>
  <cols>
    <col min="1" max="1" width="4.09765625" style="12" customWidth="1"/>
    <col min="2" max="2" width="48.59765625" customWidth="1"/>
    <col min="3" max="4" width="11" customWidth="1"/>
    <col min="5" max="5" width="6.59765625" customWidth="1"/>
    <col min="6" max="6" width="11" customWidth="1"/>
    <col min="7" max="7" width="4.09765625" customWidth="1"/>
    <col min="8" max="8" width="56.59765625" customWidth="1"/>
    <col min="9" max="26" width="11" customWidth="1"/>
  </cols>
  <sheetData>
    <row r="1" spans="1:8" ht="15.75" customHeight="1" x14ac:dyDescent="0.3"/>
    <row r="2" spans="1:8" ht="15.75" customHeight="1" x14ac:dyDescent="0.4">
      <c r="B2" s="13" t="s">
        <v>44</v>
      </c>
      <c r="E2" s="14" t="s">
        <v>45</v>
      </c>
      <c r="G2" s="12"/>
      <c r="H2" s="13" t="s">
        <v>44</v>
      </c>
    </row>
    <row r="3" spans="1:8" ht="15.75" customHeight="1" x14ac:dyDescent="0.3">
      <c r="G3" s="12"/>
    </row>
    <row r="4" spans="1:8" ht="15.75" customHeight="1" x14ac:dyDescent="0.3">
      <c r="A4" s="15" t="s">
        <v>46</v>
      </c>
      <c r="B4" s="16" t="s">
        <v>44</v>
      </c>
      <c r="E4" s="15">
        <v>1</v>
      </c>
      <c r="G4" s="15" t="s">
        <v>46</v>
      </c>
      <c r="H4" s="16" t="s">
        <v>44</v>
      </c>
    </row>
    <row r="5" spans="1:8" ht="15.75" customHeight="1" x14ac:dyDescent="0.3">
      <c r="A5" s="15">
        <v>1</v>
      </c>
      <c r="B5" s="16" t="s">
        <v>47</v>
      </c>
      <c r="E5" s="15">
        <v>2</v>
      </c>
      <c r="G5" s="15">
        <v>1</v>
      </c>
      <c r="H5" s="16" t="s">
        <v>48</v>
      </c>
    </row>
    <row r="6" spans="1:8" ht="15.75" customHeight="1" x14ac:dyDescent="0.3">
      <c r="A6" s="15">
        <v>2</v>
      </c>
      <c r="B6" s="16" t="s">
        <v>49</v>
      </c>
      <c r="E6" s="15">
        <v>3</v>
      </c>
      <c r="G6" s="15">
        <v>2</v>
      </c>
      <c r="H6" s="16" t="s">
        <v>50</v>
      </c>
    </row>
    <row r="7" spans="1:8" ht="15.75" customHeight="1" x14ac:dyDescent="0.3">
      <c r="A7" s="15">
        <v>3</v>
      </c>
      <c r="B7" s="16" t="s">
        <v>51</v>
      </c>
      <c r="E7" s="15">
        <v>4</v>
      </c>
      <c r="G7" s="15">
        <v>3</v>
      </c>
      <c r="H7" s="16" t="s">
        <v>52</v>
      </c>
    </row>
    <row r="8" spans="1:8" ht="15.75" customHeight="1" x14ac:dyDescent="0.3">
      <c r="A8" s="15">
        <v>4</v>
      </c>
      <c r="B8" s="16" t="s">
        <v>53</v>
      </c>
      <c r="E8" s="15">
        <v>5</v>
      </c>
      <c r="G8" s="15">
        <v>4</v>
      </c>
      <c r="H8" s="16" t="s">
        <v>54</v>
      </c>
    </row>
    <row r="9" spans="1:8" ht="15.75" customHeight="1" x14ac:dyDescent="0.3">
      <c r="A9" s="15">
        <v>5</v>
      </c>
      <c r="B9" s="16" t="s">
        <v>55</v>
      </c>
      <c r="E9" s="15">
        <v>6</v>
      </c>
      <c r="G9" s="15">
        <v>5</v>
      </c>
      <c r="H9" s="16" t="s">
        <v>55</v>
      </c>
    </row>
    <row r="10" spans="1:8" ht="15.75" customHeight="1" x14ac:dyDescent="0.3">
      <c r="A10" s="15">
        <v>6</v>
      </c>
      <c r="B10" s="16" t="s">
        <v>56</v>
      </c>
      <c r="E10" s="15">
        <v>7</v>
      </c>
      <c r="G10" s="15">
        <v>6</v>
      </c>
      <c r="H10" s="16" t="s">
        <v>57</v>
      </c>
    </row>
    <row r="11" spans="1:8" ht="15.75" customHeight="1" x14ac:dyDescent="0.3">
      <c r="A11" s="15">
        <v>7</v>
      </c>
      <c r="B11" s="16" t="s">
        <v>58</v>
      </c>
      <c r="E11" s="15">
        <v>8</v>
      </c>
      <c r="G11" s="15">
        <v>7</v>
      </c>
      <c r="H11" s="16" t="s">
        <v>59</v>
      </c>
    </row>
    <row r="12" spans="1:8" ht="15.75" customHeight="1" x14ac:dyDescent="0.3">
      <c r="A12" s="15">
        <v>8</v>
      </c>
      <c r="B12" s="16" t="s">
        <v>60</v>
      </c>
      <c r="E12" s="15">
        <v>9</v>
      </c>
      <c r="G12" s="15">
        <v>8</v>
      </c>
      <c r="H12" s="16" t="s">
        <v>61</v>
      </c>
    </row>
    <row r="13" spans="1:8" ht="15.75" customHeight="1" x14ac:dyDescent="0.3">
      <c r="A13" s="15">
        <v>9</v>
      </c>
      <c r="B13" s="16" t="s">
        <v>62</v>
      </c>
      <c r="E13" s="15">
        <v>10</v>
      </c>
      <c r="G13" s="15">
        <v>9</v>
      </c>
      <c r="H13" s="16" t="s">
        <v>63</v>
      </c>
    </row>
    <row r="14" spans="1:8" ht="15.75" customHeight="1" x14ac:dyDescent="0.3">
      <c r="A14" s="15">
        <v>10</v>
      </c>
      <c r="B14" s="16" t="s">
        <v>64</v>
      </c>
      <c r="E14" s="15">
        <v>11</v>
      </c>
      <c r="G14" s="15">
        <v>10</v>
      </c>
      <c r="H14" s="16" t="s">
        <v>65</v>
      </c>
    </row>
    <row r="15" spans="1:8" ht="15.75" customHeight="1" x14ac:dyDescent="0.3">
      <c r="A15" s="15">
        <v>11</v>
      </c>
      <c r="B15" s="16" t="s">
        <v>66</v>
      </c>
      <c r="E15" s="15">
        <v>12</v>
      </c>
      <c r="G15" s="15">
        <v>11</v>
      </c>
      <c r="H15" s="16" t="s">
        <v>67</v>
      </c>
    </row>
    <row r="16" spans="1:8" ht="15.75" customHeight="1" x14ac:dyDescent="0.3">
      <c r="A16" s="15">
        <v>12</v>
      </c>
      <c r="B16" s="16" t="s">
        <v>68</v>
      </c>
      <c r="E16" s="15">
        <v>13</v>
      </c>
      <c r="G16" s="15">
        <v>12</v>
      </c>
      <c r="H16" s="16" t="s">
        <v>69</v>
      </c>
    </row>
    <row r="17" spans="1:8" ht="15.75" customHeight="1" x14ac:dyDescent="0.3">
      <c r="A17" s="15">
        <v>13</v>
      </c>
      <c r="B17" s="16" t="s">
        <v>70</v>
      </c>
      <c r="E17" s="15">
        <v>14</v>
      </c>
      <c r="G17" s="15">
        <v>13</v>
      </c>
      <c r="H17" s="16" t="s">
        <v>71</v>
      </c>
    </row>
    <row r="18" spans="1:8" ht="15.75" customHeight="1" x14ac:dyDescent="0.3">
      <c r="A18" s="15">
        <v>14</v>
      </c>
      <c r="B18" s="16" t="s">
        <v>72</v>
      </c>
      <c r="E18" s="15">
        <v>15</v>
      </c>
      <c r="G18" s="15">
        <v>14</v>
      </c>
      <c r="H18" s="16" t="s">
        <v>73</v>
      </c>
    </row>
    <row r="19" spans="1:8" ht="15.75" customHeight="1" x14ac:dyDescent="0.3">
      <c r="A19" s="15">
        <v>15</v>
      </c>
      <c r="B19" s="16" t="s">
        <v>74</v>
      </c>
      <c r="E19" s="15">
        <v>16</v>
      </c>
      <c r="G19" s="15">
        <v>15</v>
      </c>
      <c r="H19" s="16" t="s">
        <v>75</v>
      </c>
    </row>
    <row r="20" spans="1:8" ht="15.75" customHeight="1" x14ac:dyDescent="0.3">
      <c r="A20" s="15">
        <v>16</v>
      </c>
      <c r="B20" s="16" t="s">
        <v>76</v>
      </c>
      <c r="E20" s="15">
        <v>17</v>
      </c>
      <c r="G20" s="15">
        <v>16</v>
      </c>
      <c r="H20" s="16" t="s">
        <v>24</v>
      </c>
    </row>
    <row r="21" spans="1:8" ht="13.5" customHeight="1" x14ac:dyDescent="0.3">
      <c r="A21" s="15">
        <v>17</v>
      </c>
      <c r="B21" s="16" t="s">
        <v>77</v>
      </c>
      <c r="G21" s="15">
        <v>17</v>
      </c>
      <c r="H21" s="16" t="s">
        <v>78</v>
      </c>
    </row>
    <row r="22" spans="1:8" ht="15.75" customHeight="1" x14ac:dyDescent="0.3">
      <c r="A22" s="15">
        <v>18</v>
      </c>
      <c r="B22" s="16" t="s">
        <v>79</v>
      </c>
      <c r="G22" s="15">
        <v>18</v>
      </c>
      <c r="H22" s="16" t="s">
        <v>22</v>
      </c>
    </row>
    <row r="23" spans="1:8" ht="15.75" customHeight="1" x14ac:dyDescent="0.3">
      <c r="A23" s="15">
        <v>19</v>
      </c>
      <c r="B23" s="16" t="s">
        <v>80</v>
      </c>
      <c r="G23" s="15">
        <v>19</v>
      </c>
      <c r="H23" s="16" t="s">
        <v>81</v>
      </c>
    </row>
    <row r="24" spans="1:8" ht="15.75" customHeight="1" x14ac:dyDescent="0.3">
      <c r="A24" s="15">
        <v>20</v>
      </c>
      <c r="B24" s="16" t="s">
        <v>82</v>
      </c>
      <c r="G24" s="15">
        <v>20</v>
      </c>
      <c r="H24" s="16" t="s">
        <v>20</v>
      </c>
    </row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981EC0ED27B4597E79BACF1A3FC77" ma:contentTypeVersion="8" ma:contentTypeDescription="Create a new document." ma:contentTypeScope="" ma:versionID="2ca17f66479a3a2d475ab58bdb72d5fd">
  <xsd:schema xmlns:xsd="http://www.w3.org/2001/XMLSchema" xmlns:xs="http://www.w3.org/2001/XMLSchema" xmlns:p="http://schemas.microsoft.com/office/2006/metadata/properties" xmlns:ns2="1e9189d3-6323-4f39-8fd8-87587ae9152e" xmlns:ns3="aa8c51de-d0d2-4946-97e1-db1ab77ad22c" targetNamespace="http://schemas.microsoft.com/office/2006/metadata/properties" ma:root="true" ma:fieldsID="179c2e1232ff1419666292302fce5742" ns2:_="" ns3:_="">
    <xsd:import namespace="1e9189d3-6323-4f39-8fd8-87587ae9152e"/>
    <xsd:import namespace="aa8c51de-d0d2-4946-97e1-db1ab77ad2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189d3-6323-4f39-8fd8-87587ae91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c51de-d0d2-4946-97e1-db1ab77ad2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945B73-EDA8-4197-A478-8C590ED986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A3F4CE-5185-4AA6-9BFE-0DCCB1A572DC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aa8c51de-d0d2-4946-97e1-db1ab77ad22c"/>
    <ds:schemaRef ds:uri="http://purl.org/dc/elements/1.1/"/>
    <ds:schemaRef ds:uri="http://purl.org/dc/dcmitype/"/>
    <ds:schemaRef ds:uri="1e9189d3-6323-4f39-8fd8-87587ae9152e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157A45B-2957-486B-8BBC-4F637ECB5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9189d3-6323-4f39-8fd8-87587ae9152e"/>
    <ds:schemaRef ds:uri="aa8c51de-d0d2-4946-97e1-db1ab77ad2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Bachelor</vt:lpstr>
      <vt:lpstr>DS phân ban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Thi Thanh Nga</dc:creator>
  <cp:keywords/>
  <dc:description/>
  <cp:lastModifiedBy>Hiep Hoang</cp:lastModifiedBy>
  <cp:revision>1</cp:revision>
  <cp:lastPrinted>2025-04-11T02:05:20Z</cp:lastPrinted>
  <dcterms:created xsi:type="dcterms:W3CDTF">2023-01-03T08:35:58Z</dcterms:created>
  <dcterms:modified xsi:type="dcterms:W3CDTF">2025-04-11T02:35:39Z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0x010100C40981EC0ED27B4597E79BACF1A3FC77</vt:lpwstr>
  </property>
</Properties>
</file>